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RP\"/>
    </mc:Choice>
  </mc:AlternateContent>
  <xr:revisionPtr revIDLastSave="0" documentId="13_ncr:1_{D7AA2E7F-DE24-4FC3-9114-54A8287AF693}" xr6:coauthVersionLast="47" xr6:coauthVersionMax="47" xr10:uidLastSave="{00000000-0000-0000-0000-000000000000}"/>
  <bookViews>
    <workbookView xWindow="-120" yWindow="-120" windowWidth="38640" windowHeight="16440" xr2:uid="{67B1754A-12C3-4D0E-AAE1-3489C78E393A}"/>
  </bookViews>
  <sheets>
    <sheet name="ERP Prdouct (Supplier Name)" sheetId="2" r:id="rId1"/>
    <sheet name="Sale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3" l="1"/>
  <c r="I8" i="3"/>
  <c r="I7" i="3"/>
  <c r="F8" i="3"/>
  <c r="F7" i="3"/>
  <c r="I6" i="3"/>
  <c r="I5" i="3"/>
  <c r="F6" i="3"/>
  <c r="F5" i="3"/>
  <c r="I4" i="3"/>
  <c r="F4" i="3"/>
  <c r="I3" i="3"/>
  <c r="F3" i="3"/>
  <c r="G2" i="3"/>
  <c r="H3" i="2"/>
  <c r="I2" i="3" l="1"/>
</calcChain>
</file>

<file path=xl/sharedStrings.xml><?xml version="1.0" encoding="utf-8"?>
<sst xmlns="http://schemas.openxmlformats.org/spreadsheetml/2006/main" count="137" uniqueCount="70">
  <si>
    <t>ERPSOLUTIONS NON-SPECIALIZED WHOLESALE TRADING</t>
  </si>
  <si>
    <t>Description</t>
  </si>
  <si>
    <t>Warranty (Yr)</t>
  </si>
  <si>
    <t>Purchase amount</t>
  </si>
  <si>
    <t>Date Purchased</t>
  </si>
  <si>
    <t>No. of items</t>
  </si>
  <si>
    <t>Delivery Fee</t>
  </si>
  <si>
    <t>Total amount (purchase + df)</t>
  </si>
  <si>
    <t>Supplier Name</t>
  </si>
  <si>
    <t>Supplier Contact #</t>
  </si>
  <si>
    <t>Supplier email address</t>
  </si>
  <si>
    <t>Buyer Name</t>
  </si>
  <si>
    <t>Buyer Contact #</t>
  </si>
  <si>
    <t>Pc</t>
  </si>
  <si>
    <t>Total</t>
  </si>
  <si>
    <t>Date Saled</t>
  </si>
  <si>
    <t>Battery</t>
  </si>
  <si>
    <t>CSB HR 1221WF2</t>
  </si>
  <si>
    <t>AVC TECHNOLOGY INDSUTRIES</t>
  </si>
  <si>
    <t>8935-3408</t>
  </si>
  <si>
    <t>sales@avctechnology.net</t>
  </si>
  <si>
    <t>Realtime Data Management Services Inc.</t>
  </si>
  <si>
    <t>220-159-142-000</t>
  </si>
  <si>
    <t>8936-4344</t>
  </si>
  <si>
    <t>8998-6781</t>
  </si>
  <si>
    <t>AVC TECHNOLOGY INDSUTRIES (Zelle Torres)</t>
  </si>
  <si>
    <t>+639328521887</t>
  </si>
  <si>
    <t>viber</t>
  </si>
  <si>
    <t>income</t>
  </si>
  <si>
    <t>webcam</t>
  </si>
  <si>
    <t>Logitech C920E 1080P HD Pro Webcam Widescreen Video Chat Recording</t>
  </si>
  <si>
    <t>LAZ MALL</t>
  </si>
  <si>
    <t>computer set</t>
  </si>
  <si>
    <t>CORE I3 CPU SET with Monitor 21.5 inches, Keyboard and Mouse</t>
  </si>
  <si>
    <t>TBD</t>
  </si>
  <si>
    <t>CET8 (Maricel L. Soria)</t>
  </si>
  <si>
    <t>+639954800739</t>
  </si>
  <si>
    <t>maricelsoria990@gmail.com</t>
  </si>
  <si>
    <t>lazada</t>
  </si>
  <si>
    <t>printer</t>
  </si>
  <si>
    <t>EPSON Printer L121</t>
  </si>
  <si>
    <t>USB To serials</t>
  </si>
  <si>
    <t>USB Extender</t>
  </si>
  <si>
    <t>TechnoSafe CCTV &amp; Computer Accessories</t>
  </si>
  <si>
    <t>+639152090770</t>
  </si>
  <si>
    <t>technosafeph@gmail.com</t>
  </si>
  <si>
    <t>63(2)34113738</t>
  </si>
  <si>
    <t>63(2)77202211</t>
  </si>
  <si>
    <t>DT-5002A DTECH USB to RS232 Serial Cable</t>
  </si>
  <si>
    <t>UNITK Y278 USB 2.0 Active Extension Cable 10M</t>
  </si>
  <si>
    <t>7 days</t>
  </si>
  <si>
    <t>Item name</t>
  </si>
  <si>
    <t>Cleangauge Dasma</t>
  </si>
  <si>
    <t>Blazing Star</t>
  </si>
  <si>
    <t>Sale amount per piece</t>
  </si>
  <si>
    <t>Total income</t>
  </si>
  <si>
    <t>SmilePC Computer Part and Accessories Shop</t>
  </si>
  <si>
    <t>messenger</t>
  </si>
  <si>
    <t>cctv</t>
  </si>
  <si>
    <t>Fixed R Network Dome Camera</t>
  </si>
  <si>
    <t>Precious Island Corp.</t>
  </si>
  <si>
    <t>2MP R  Fixed Network Bullet Camera</t>
  </si>
  <si>
    <t>2MP POE 4K NVR</t>
  </si>
  <si>
    <t>PRICEMART PRICEWISE ACCESSORIES AND PC CASE MOD</t>
  </si>
  <si>
    <t>wall mount</t>
  </si>
  <si>
    <t>juncsion</t>
  </si>
  <si>
    <t>adlink cat6 outdoor</t>
  </si>
  <si>
    <t>epson 6121</t>
  </si>
  <si>
    <t>mouse pad</t>
  </si>
  <si>
    <t>SLOANE &amp; GRAF COMPUTER CENTER CO,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</si>
</sst>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₱-3409]* #,##0.00_-;\-[$₱-3409]* #,##0.00_-;_-[$₱-3409]* &quot;-&quot;??_-;_-@_-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/>
    <xf numFmtId="15" fontId="0" fillId="0" borderId="1" xfId="0" applyNumberFormat="1" applyBorder="1" applyAlignment="1">
      <alignment horizontal="center"/>
    </xf>
    <xf numFmtId="0" fontId="1" fillId="0" borderId="1" xfId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/>
    <xf numFmtId="164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/>
    <xf numFmtId="164" fontId="0" fillId="3" borderId="1" xfId="0" applyNumberFormat="1" applyFill="1" applyBorder="1"/>
    <xf numFmtId="0" fontId="0" fillId="0" borderId="1" xfId="0" applyBorder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5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4" fontId="0" fillId="4" borderId="1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92999-21D0-4364-A145-40567C681688}">
  <dimension ref="A1:R70"/>
  <sheetViews>
    <sheetView tabSelected="1" zoomScaleNormal="100" workbookViewId="0">
      <selection activeCell="H10" sqref="H10:H12"/>
    </sheetView>
  </sheetViews>
  <sheetFormatPr defaultRowHeight="15" x14ac:dyDescent="0.25"/>
  <cols>
    <col min="1" max="1" width="12.7109375" bestFit="1" customWidth="1"/>
    <col min="2" max="2" width="66.42578125" style="9" bestFit="1" customWidth="1"/>
    <col min="3" max="3" width="14.140625" style="9" bestFit="1" customWidth="1"/>
    <col min="4" max="4" width="16.42578125" style="10" bestFit="1" customWidth="1"/>
    <col min="5" max="5" width="14.85546875" style="9" bestFit="1" customWidth="1"/>
    <col min="6" max="6" width="14.85546875" style="11" customWidth="1"/>
    <col min="7" max="7" width="14.85546875" style="10" customWidth="1"/>
    <col min="8" max="8" width="26.85546875" style="12" bestFit="1" customWidth="1"/>
    <col min="9" max="9" width="51.42578125" style="9" bestFit="1" customWidth="1"/>
    <col min="10" max="10" width="27.85546875" style="9" customWidth="1"/>
    <col min="11" max="11" width="24" style="9" bestFit="1" customWidth="1"/>
    <col min="12" max="12" width="37.7109375" style="9" bestFit="1" customWidth="1"/>
    <col min="13" max="13" width="18" style="9" bestFit="1" customWidth="1"/>
    <col min="14" max="14" width="12" style="9" bestFit="1" customWidth="1"/>
    <col min="15" max="15" width="12" style="10" customWidth="1"/>
    <col min="16" max="16" width="13.7109375" style="10" bestFit="1" customWidth="1"/>
    <col min="17" max="17" width="11.7109375" style="9" bestFit="1" customWidth="1"/>
    <col min="18" max="18" width="12.42578125" bestFit="1" customWidth="1"/>
  </cols>
  <sheetData>
    <row r="1" spans="1:18" x14ac:dyDescent="0.2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x14ac:dyDescent="0.25">
      <c r="A2" s="2"/>
      <c r="B2" s="1" t="s">
        <v>1</v>
      </c>
      <c r="C2" s="1" t="s">
        <v>2</v>
      </c>
      <c r="D2" s="3" t="s">
        <v>3</v>
      </c>
      <c r="E2" s="1" t="s">
        <v>4</v>
      </c>
      <c r="F2" s="4" t="s">
        <v>5</v>
      </c>
      <c r="G2" s="3" t="s">
        <v>6</v>
      </c>
      <c r="H2" s="5" t="s">
        <v>7</v>
      </c>
      <c r="I2" s="1" t="s">
        <v>8</v>
      </c>
      <c r="J2" s="1" t="s">
        <v>9</v>
      </c>
      <c r="K2" s="1" t="s">
        <v>10</v>
      </c>
    </row>
    <row r="3" spans="1:18" x14ac:dyDescent="0.25">
      <c r="A3" s="2" t="s">
        <v>16</v>
      </c>
      <c r="B3" s="1" t="s">
        <v>17</v>
      </c>
      <c r="C3" s="1">
        <v>1</v>
      </c>
      <c r="D3" s="3">
        <v>1490</v>
      </c>
      <c r="E3" s="6">
        <v>45784</v>
      </c>
      <c r="F3" s="4">
        <v>16</v>
      </c>
      <c r="G3" s="3">
        <v>300</v>
      </c>
      <c r="H3" s="3">
        <f>D3*F3+G3</f>
        <v>24140</v>
      </c>
      <c r="I3" s="1" t="s">
        <v>18</v>
      </c>
      <c r="J3" s="1" t="s">
        <v>19</v>
      </c>
      <c r="K3" s="7" t="s">
        <v>20</v>
      </c>
    </row>
    <row r="4" spans="1:18" x14ac:dyDescent="0.25">
      <c r="A4" s="2"/>
      <c r="B4" s="1"/>
      <c r="C4" s="1"/>
      <c r="D4" s="3"/>
      <c r="E4" s="1"/>
      <c r="F4" s="4"/>
      <c r="G4" s="3"/>
      <c r="H4" s="5"/>
      <c r="I4" s="1" t="s">
        <v>18</v>
      </c>
      <c r="J4" s="1" t="s">
        <v>23</v>
      </c>
      <c r="K4" s="7" t="s">
        <v>20</v>
      </c>
    </row>
    <row r="5" spans="1:18" x14ac:dyDescent="0.25">
      <c r="A5" s="2"/>
      <c r="B5" s="1"/>
      <c r="C5" s="1"/>
      <c r="D5" s="3"/>
      <c r="E5" s="1"/>
      <c r="F5" s="4"/>
      <c r="G5" s="3"/>
      <c r="H5" s="5"/>
      <c r="I5" s="1" t="s">
        <v>18</v>
      </c>
      <c r="J5" s="1">
        <v>79408819</v>
      </c>
      <c r="K5" s="7" t="s">
        <v>20</v>
      </c>
    </row>
    <row r="6" spans="1:18" x14ac:dyDescent="0.25">
      <c r="A6" s="2"/>
      <c r="B6" s="1"/>
      <c r="C6" s="1"/>
      <c r="D6" s="3"/>
      <c r="E6" s="1"/>
      <c r="F6" s="4"/>
      <c r="G6" s="3"/>
      <c r="H6" s="5"/>
      <c r="I6" s="1" t="s">
        <v>18</v>
      </c>
      <c r="J6" s="1" t="s">
        <v>24</v>
      </c>
      <c r="K6" s="7" t="s">
        <v>20</v>
      </c>
    </row>
    <row r="7" spans="1:18" x14ac:dyDescent="0.25">
      <c r="A7" s="2"/>
      <c r="B7" s="1"/>
      <c r="C7" s="1"/>
      <c r="D7" s="3"/>
      <c r="E7" s="1"/>
      <c r="F7" s="4"/>
      <c r="G7" s="3"/>
      <c r="H7" s="5"/>
      <c r="I7" s="1" t="s">
        <v>25</v>
      </c>
      <c r="J7" s="8" t="s">
        <v>26</v>
      </c>
      <c r="K7" s="1" t="s">
        <v>27</v>
      </c>
    </row>
    <row r="8" spans="1:18" ht="39.75" customHeight="1" x14ac:dyDescent="0.25">
      <c r="A8" s="2" t="s">
        <v>32</v>
      </c>
      <c r="B8" s="1" t="s">
        <v>33</v>
      </c>
      <c r="C8" s="1" t="s">
        <v>34</v>
      </c>
      <c r="D8" s="3">
        <v>18000</v>
      </c>
      <c r="E8" s="6"/>
      <c r="F8" s="4">
        <v>2</v>
      </c>
      <c r="G8" s="3" t="s">
        <v>34</v>
      </c>
      <c r="H8" s="5">
        <v>36000</v>
      </c>
      <c r="I8" s="1" t="s">
        <v>35</v>
      </c>
      <c r="J8" s="8" t="s">
        <v>36</v>
      </c>
      <c r="K8" s="7" t="s">
        <v>37</v>
      </c>
    </row>
    <row r="9" spans="1:18" x14ac:dyDescent="0.25">
      <c r="A9" s="2" t="s">
        <v>39</v>
      </c>
      <c r="B9" s="1" t="s">
        <v>40</v>
      </c>
      <c r="C9" s="1" t="s">
        <v>34</v>
      </c>
      <c r="D9" s="3"/>
      <c r="E9" s="6"/>
      <c r="F9" s="4">
        <v>1</v>
      </c>
      <c r="G9" s="3" t="s">
        <v>34</v>
      </c>
      <c r="H9" s="5"/>
      <c r="I9" s="1"/>
      <c r="J9" s="1"/>
      <c r="K9" s="1"/>
    </row>
    <row r="10" spans="1:18" x14ac:dyDescent="0.25">
      <c r="A10" s="2" t="s">
        <v>29</v>
      </c>
      <c r="B10" s="1" t="s">
        <v>30</v>
      </c>
      <c r="C10" s="1"/>
      <c r="D10" s="3">
        <v>3002.17</v>
      </c>
      <c r="E10" s="6">
        <v>46034</v>
      </c>
      <c r="F10" s="4">
        <v>6</v>
      </c>
      <c r="G10" s="3"/>
      <c r="H10" s="13">
        <v>17995.52</v>
      </c>
      <c r="I10" s="1" t="s">
        <v>31</v>
      </c>
      <c r="J10" s="1"/>
      <c r="K10" s="1" t="s">
        <v>38</v>
      </c>
    </row>
    <row r="11" spans="1:18" x14ac:dyDescent="0.25">
      <c r="A11" s="2" t="s">
        <v>41</v>
      </c>
      <c r="B11" s="1" t="s">
        <v>48</v>
      </c>
      <c r="C11" s="1" t="s">
        <v>50</v>
      </c>
      <c r="D11" s="3">
        <v>500</v>
      </c>
      <c r="E11" s="6">
        <v>46032</v>
      </c>
      <c r="F11" s="4">
        <v>5</v>
      </c>
      <c r="G11" s="3"/>
      <c r="H11" s="14">
        <v>2500</v>
      </c>
      <c r="I11" s="1" t="s">
        <v>43</v>
      </c>
      <c r="J11" s="8" t="s">
        <v>44</v>
      </c>
      <c r="K11" s="7" t="s">
        <v>45</v>
      </c>
    </row>
    <row r="12" spans="1:18" x14ac:dyDescent="0.25">
      <c r="A12" s="2" t="s">
        <v>42</v>
      </c>
      <c r="B12" s="1" t="s">
        <v>49</v>
      </c>
      <c r="C12" s="1" t="s">
        <v>50</v>
      </c>
      <c r="D12" s="3">
        <v>550</v>
      </c>
      <c r="E12" s="6">
        <v>46032</v>
      </c>
      <c r="F12" s="4">
        <v>5</v>
      </c>
      <c r="G12" s="3"/>
      <c r="H12" s="14">
        <v>2750</v>
      </c>
      <c r="I12" s="1" t="s">
        <v>43</v>
      </c>
      <c r="J12" s="1" t="s">
        <v>46</v>
      </c>
      <c r="K12" s="7" t="s">
        <v>45</v>
      </c>
    </row>
    <row r="13" spans="1:18" x14ac:dyDescent="0.25">
      <c r="A13" s="2"/>
      <c r="B13" s="1"/>
      <c r="C13" s="1"/>
      <c r="D13" s="3"/>
      <c r="E13" s="1"/>
      <c r="F13" s="4"/>
      <c r="G13" s="3"/>
      <c r="H13" s="5"/>
      <c r="I13" s="1"/>
      <c r="J13" s="1" t="s">
        <v>47</v>
      </c>
      <c r="K13" s="7" t="s">
        <v>45</v>
      </c>
    </row>
    <row r="14" spans="1:18" x14ac:dyDescent="0.25">
      <c r="A14" s="17" t="s">
        <v>32</v>
      </c>
      <c r="B14" s="18" t="s">
        <v>33</v>
      </c>
      <c r="C14" s="18"/>
      <c r="D14" s="19">
        <v>25000</v>
      </c>
      <c r="E14" s="20">
        <v>46151</v>
      </c>
      <c r="F14" s="21">
        <v>2</v>
      </c>
      <c r="G14" s="19"/>
      <c r="H14" s="22">
        <v>50000</v>
      </c>
      <c r="I14" s="18" t="s">
        <v>56</v>
      </c>
      <c r="J14" s="18" t="s">
        <v>57</v>
      </c>
      <c r="K14" s="18"/>
    </row>
    <row r="15" spans="1:18" x14ac:dyDescent="0.25">
      <c r="A15" s="17" t="s">
        <v>58</v>
      </c>
      <c r="B15" s="18" t="s">
        <v>61</v>
      </c>
      <c r="C15" s="18"/>
      <c r="D15" s="19">
        <v>1695</v>
      </c>
      <c r="E15" s="20">
        <v>46151</v>
      </c>
      <c r="F15" s="21">
        <v>2</v>
      </c>
      <c r="G15" s="19"/>
      <c r="H15" s="22">
        <v>3390</v>
      </c>
      <c r="I15" s="18" t="s">
        <v>60</v>
      </c>
      <c r="J15" s="18"/>
      <c r="K15" s="18"/>
    </row>
    <row r="16" spans="1:18" x14ac:dyDescent="0.25">
      <c r="A16" s="17" t="s">
        <v>58</v>
      </c>
      <c r="B16" s="18" t="s">
        <v>59</v>
      </c>
      <c r="C16" s="18"/>
      <c r="D16" s="19">
        <v>1830</v>
      </c>
      <c r="E16" s="20">
        <v>46151</v>
      </c>
      <c r="F16" s="21">
        <v>2</v>
      </c>
      <c r="G16" s="19"/>
      <c r="H16" s="19">
        <v>1830</v>
      </c>
      <c r="I16" s="18" t="s">
        <v>60</v>
      </c>
      <c r="J16" s="18"/>
      <c r="K16" s="18"/>
    </row>
    <row r="17" spans="1:18" x14ac:dyDescent="0.25">
      <c r="A17" s="17" t="s">
        <v>58</v>
      </c>
      <c r="B17" s="18" t="s">
        <v>62</v>
      </c>
      <c r="C17" s="18"/>
      <c r="D17" s="19">
        <v>4289</v>
      </c>
      <c r="E17" s="20">
        <v>46151</v>
      </c>
      <c r="F17" s="21">
        <v>1</v>
      </c>
      <c r="G17" s="19"/>
      <c r="H17" s="19">
        <v>4289</v>
      </c>
      <c r="I17" s="18" t="s">
        <v>60</v>
      </c>
      <c r="J17" s="18"/>
      <c r="K17" s="18"/>
    </row>
    <row r="18" spans="1:18" x14ac:dyDescent="0.25">
      <c r="A18" s="17" t="s">
        <v>58</v>
      </c>
      <c r="B18" s="18"/>
      <c r="C18" s="18"/>
      <c r="D18" s="19">
        <v>2499</v>
      </c>
      <c r="E18" s="20">
        <v>46151</v>
      </c>
      <c r="F18" s="21">
        <v>1</v>
      </c>
      <c r="G18" s="19"/>
      <c r="H18" s="19">
        <v>2499</v>
      </c>
      <c r="I18" s="18" t="s">
        <v>63</v>
      </c>
      <c r="J18" s="18"/>
      <c r="K18" s="18"/>
    </row>
    <row r="19" spans="1:18" x14ac:dyDescent="0.25">
      <c r="A19" s="17" t="s">
        <v>58</v>
      </c>
      <c r="B19" s="18" t="s">
        <v>64</v>
      </c>
      <c r="C19" s="18"/>
      <c r="D19" s="19">
        <v>799</v>
      </c>
      <c r="E19" s="20">
        <v>46151</v>
      </c>
      <c r="F19" s="21">
        <v>1</v>
      </c>
      <c r="G19" s="19"/>
      <c r="H19" s="19">
        <v>799</v>
      </c>
      <c r="I19" s="18" t="s">
        <v>63</v>
      </c>
      <c r="J19" s="18"/>
      <c r="K19" s="18"/>
    </row>
    <row r="20" spans="1:18" x14ac:dyDescent="0.25">
      <c r="A20" s="17" t="s">
        <v>58</v>
      </c>
      <c r="B20" s="18" t="s">
        <v>65</v>
      </c>
      <c r="C20" s="18"/>
      <c r="D20" s="19">
        <v>200</v>
      </c>
      <c r="E20" s="20">
        <v>46151</v>
      </c>
      <c r="F20" s="21">
        <v>1</v>
      </c>
      <c r="G20" s="19"/>
      <c r="H20" s="22">
        <v>200</v>
      </c>
      <c r="I20" s="18" t="s">
        <v>63</v>
      </c>
      <c r="J20" s="18"/>
      <c r="K20" s="18"/>
    </row>
    <row r="21" spans="1:18" x14ac:dyDescent="0.25">
      <c r="A21" s="17" t="s">
        <v>58</v>
      </c>
      <c r="B21" s="18" t="s">
        <v>66</v>
      </c>
      <c r="C21" s="18"/>
      <c r="D21" s="19">
        <v>2900</v>
      </c>
      <c r="E21" s="20">
        <v>46151</v>
      </c>
      <c r="F21" s="21">
        <v>1</v>
      </c>
      <c r="G21" s="19"/>
      <c r="H21" s="19">
        <v>2900</v>
      </c>
      <c r="I21" s="18" t="s">
        <v>69</v>
      </c>
      <c r="J21" s="18"/>
      <c r="K21" s="18"/>
    </row>
    <row r="22" spans="1:18" x14ac:dyDescent="0.25">
      <c r="A22" s="17" t="s">
        <v>39</v>
      </c>
      <c r="B22" s="18" t="s">
        <v>67</v>
      </c>
      <c r="C22" s="18"/>
      <c r="D22" s="19">
        <v>5250</v>
      </c>
      <c r="E22" s="20">
        <v>46151</v>
      </c>
      <c r="F22" s="21">
        <v>1</v>
      </c>
      <c r="G22" s="19"/>
      <c r="H22" s="19">
        <v>5250</v>
      </c>
      <c r="I22" s="18" t="s">
        <v>69</v>
      </c>
      <c r="J22" s="18"/>
      <c r="K22" s="18"/>
    </row>
    <row r="23" spans="1:18" x14ac:dyDescent="0.25">
      <c r="A23" s="17" t="s">
        <v>68</v>
      </c>
      <c r="B23" s="18" t="s">
        <v>68</v>
      </c>
      <c r="C23" s="18"/>
      <c r="D23" s="19">
        <v>100</v>
      </c>
      <c r="E23" s="20">
        <v>46151</v>
      </c>
      <c r="F23" s="21">
        <v>1</v>
      </c>
      <c r="G23" s="19"/>
      <c r="H23" s="22">
        <v>100</v>
      </c>
      <c r="I23" s="18" t="s">
        <v>69</v>
      </c>
      <c r="J23" s="18"/>
      <c r="K23" s="18"/>
    </row>
    <row r="24" spans="1:18" x14ac:dyDescent="0.25">
      <c r="A24" s="2"/>
      <c r="B24" s="1"/>
      <c r="C24" s="1"/>
      <c r="D24" s="3"/>
      <c r="E24" s="1"/>
      <c r="F24" s="4"/>
      <c r="G24" s="3"/>
      <c r="H24" s="5"/>
      <c r="I24" s="1"/>
      <c r="J24" s="1"/>
      <c r="K24" s="1"/>
    </row>
    <row r="25" spans="1:18" x14ac:dyDescent="0.25">
      <c r="A25" s="2"/>
      <c r="B25" s="1"/>
      <c r="C25" s="1"/>
      <c r="D25" s="3"/>
      <c r="E25" s="1"/>
      <c r="F25" s="4"/>
      <c r="G25" s="3"/>
      <c r="H25" s="5"/>
      <c r="I25" s="1"/>
      <c r="J25" s="1"/>
      <c r="K25" s="1"/>
    </row>
    <row r="26" spans="1:18" x14ac:dyDescent="0.25">
      <c r="A26" s="2"/>
      <c r="B26" s="1"/>
      <c r="C26" s="1"/>
      <c r="D26" s="3"/>
      <c r="E26" s="1"/>
      <c r="F26" s="4"/>
      <c r="G26" s="3"/>
      <c r="H26" s="5"/>
      <c r="I26" s="1"/>
      <c r="J26" s="1"/>
      <c r="K26" s="1"/>
    </row>
    <row r="27" spans="1:18" x14ac:dyDescent="0.25">
      <c r="A27" s="2"/>
      <c r="B27" s="1"/>
      <c r="C27" s="1"/>
      <c r="D27" s="3"/>
      <c r="E27" s="1"/>
      <c r="F27" s="4"/>
      <c r="G27" s="3"/>
      <c r="H27" s="5"/>
      <c r="I27" s="1"/>
      <c r="J27" s="1"/>
      <c r="K27" s="1"/>
    </row>
    <row r="28" spans="1:18" x14ac:dyDescent="0.25">
      <c r="A28" s="2"/>
      <c r="B28" s="1"/>
      <c r="C28" s="1"/>
      <c r="D28" s="3"/>
      <c r="E28" s="1"/>
      <c r="F28" s="4"/>
      <c r="G28" s="3"/>
      <c r="H28" s="5"/>
      <c r="I28" s="1"/>
      <c r="J28" s="1"/>
      <c r="K28" s="1"/>
    </row>
    <row r="29" spans="1:18" x14ac:dyDescent="0.25">
      <c r="A29" s="2"/>
      <c r="B29" s="1"/>
      <c r="C29" s="1"/>
      <c r="D29" s="3"/>
      <c r="E29" s="1"/>
      <c r="F29" s="4"/>
      <c r="G29" s="3"/>
      <c r="H29" s="5"/>
      <c r="I29" s="1"/>
      <c r="J29" s="1"/>
      <c r="K29" s="1"/>
    </row>
    <row r="30" spans="1:18" x14ac:dyDescent="0.25">
      <c r="A30" s="2"/>
      <c r="B30" s="1"/>
      <c r="C30" s="1"/>
      <c r="D30" s="3"/>
      <c r="E30" s="1"/>
      <c r="F30" s="4"/>
      <c r="G30" s="3"/>
      <c r="H30" s="5"/>
      <c r="I30" s="1"/>
      <c r="J30" s="1"/>
      <c r="K30" s="1"/>
      <c r="L30" s="1"/>
      <c r="M30" s="1"/>
      <c r="N30" s="1"/>
      <c r="O30" s="3"/>
      <c r="P30" s="3"/>
      <c r="Q30" s="1"/>
      <c r="R30" s="2"/>
    </row>
    <row r="31" spans="1:18" x14ac:dyDescent="0.25">
      <c r="A31" s="2"/>
      <c r="B31" s="1"/>
      <c r="C31" s="1"/>
      <c r="D31" s="3"/>
      <c r="E31" s="1"/>
      <c r="F31" s="4"/>
      <c r="G31" s="3"/>
      <c r="H31" s="5"/>
      <c r="I31" s="1"/>
      <c r="J31" s="1"/>
      <c r="K31" s="1"/>
      <c r="L31" s="1"/>
      <c r="M31" s="1"/>
      <c r="N31" s="1"/>
      <c r="O31" s="3"/>
      <c r="P31" s="3"/>
      <c r="Q31" s="1"/>
      <c r="R31" s="2"/>
    </row>
    <row r="32" spans="1:18" x14ac:dyDescent="0.25">
      <c r="A32" s="2"/>
      <c r="B32" s="1"/>
      <c r="C32" s="1"/>
      <c r="D32" s="3"/>
      <c r="E32" s="1"/>
      <c r="F32" s="4"/>
      <c r="G32" s="3"/>
      <c r="H32" s="5"/>
      <c r="I32" s="1"/>
      <c r="J32" s="1"/>
      <c r="K32" s="1"/>
      <c r="L32" s="1"/>
      <c r="M32" s="1"/>
      <c r="N32" s="1"/>
      <c r="O32" s="3"/>
      <c r="P32" s="3"/>
      <c r="Q32" s="1"/>
      <c r="R32" s="2"/>
    </row>
    <row r="33" spans="1:18" x14ac:dyDescent="0.25">
      <c r="A33" s="2"/>
      <c r="B33" s="1"/>
      <c r="C33" s="1"/>
      <c r="D33" s="3"/>
      <c r="E33" s="1"/>
      <c r="F33" s="4"/>
      <c r="G33" s="3"/>
      <c r="H33" s="5"/>
      <c r="I33" s="1"/>
      <c r="J33" s="1"/>
      <c r="K33" s="1"/>
      <c r="L33" s="1"/>
      <c r="M33" s="1"/>
      <c r="N33" s="1"/>
      <c r="O33" s="3"/>
      <c r="P33" s="3"/>
      <c r="Q33" s="1"/>
      <c r="R33" s="2"/>
    </row>
    <row r="34" spans="1:18" x14ac:dyDescent="0.25">
      <c r="A34" s="2"/>
      <c r="B34" s="1"/>
      <c r="C34" s="1"/>
      <c r="D34" s="3"/>
      <c r="E34" s="1"/>
      <c r="F34" s="4"/>
      <c r="G34" s="3"/>
      <c r="H34" s="5"/>
      <c r="I34" s="1"/>
      <c r="J34" s="1"/>
      <c r="K34" s="1"/>
      <c r="L34" s="1"/>
      <c r="M34" s="1"/>
      <c r="N34" s="1"/>
      <c r="O34" s="3"/>
      <c r="P34" s="3"/>
      <c r="Q34" s="1"/>
      <c r="R34" s="2"/>
    </row>
    <row r="35" spans="1:18" x14ac:dyDescent="0.25">
      <c r="A35" s="2"/>
      <c r="B35" s="1"/>
      <c r="C35" s="1"/>
      <c r="D35" s="3"/>
      <c r="E35" s="1"/>
      <c r="F35" s="4"/>
      <c r="G35" s="3"/>
      <c r="H35" s="5"/>
      <c r="I35" s="1"/>
      <c r="J35" s="1"/>
      <c r="K35" s="1"/>
      <c r="L35" s="1"/>
      <c r="M35" s="1"/>
      <c r="N35" s="1"/>
      <c r="O35" s="3"/>
      <c r="P35" s="3"/>
      <c r="Q35" s="1"/>
      <c r="R35" s="2"/>
    </row>
    <row r="36" spans="1:18" x14ac:dyDescent="0.25">
      <c r="A36" s="2"/>
      <c r="B36" s="1"/>
      <c r="C36" s="1"/>
      <c r="D36" s="3"/>
      <c r="E36" s="1"/>
      <c r="F36" s="4"/>
      <c r="G36" s="3"/>
      <c r="H36" s="5"/>
      <c r="I36" s="1"/>
      <c r="J36" s="1"/>
      <c r="K36" s="1"/>
      <c r="L36" s="1"/>
      <c r="M36" s="1"/>
      <c r="N36" s="1"/>
      <c r="O36" s="3"/>
      <c r="P36" s="3"/>
      <c r="Q36" s="1"/>
      <c r="R36" s="2"/>
    </row>
    <row r="37" spans="1:18" x14ac:dyDescent="0.25">
      <c r="A37" s="2"/>
      <c r="B37" s="1"/>
      <c r="C37" s="1"/>
      <c r="D37" s="3"/>
      <c r="E37" s="1"/>
      <c r="F37" s="4"/>
      <c r="G37" s="3"/>
      <c r="H37" s="5"/>
      <c r="I37" s="1"/>
      <c r="J37" s="1"/>
      <c r="K37" s="1"/>
      <c r="L37" s="1"/>
      <c r="M37" s="1"/>
      <c r="N37" s="1"/>
      <c r="O37" s="3"/>
      <c r="P37" s="3"/>
      <c r="Q37" s="1"/>
      <c r="R37" s="2"/>
    </row>
    <row r="38" spans="1:18" x14ac:dyDescent="0.25">
      <c r="A38" s="2"/>
      <c r="B38" s="1"/>
      <c r="C38" s="1"/>
      <c r="D38" s="3"/>
      <c r="E38" s="1"/>
      <c r="F38" s="4"/>
      <c r="G38" s="3"/>
      <c r="H38" s="5"/>
      <c r="I38" s="1"/>
      <c r="J38" s="1"/>
      <c r="K38" s="1"/>
      <c r="L38" s="1"/>
      <c r="M38" s="1"/>
      <c r="N38" s="1"/>
      <c r="O38" s="3"/>
      <c r="P38" s="3"/>
      <c r="Q38" s="1"/>
      <c r="R38" s="2"/>
    </row>
    <row r="39" spans="1:18" x14ac:dyDescent="0.25">
      <c r="A39" s="2"/>
      <c r="B39" s="1"/>
      <c r="C39" s="1"/>
      <c r="D39" s="3"/>
      <c r="E39" s="1"/>
      <c r="F39" s="4"/>
      <c r="G39" s="3"/>
      <c r="H39" s="5"/>
      <c r="I39" s="1"/>
      <c r="J39" s="1"/>
      <c r="K39" s="1"/>
      <c r="L39" s="1"/>
      <c r="M39" s="1"/>
      <c r="N39" s="1"/>
      <c r="O39" s="3"/>
      <c r="P39" s="3"/>
      <c r="Q39" s="1"/>
      <c r="R39" s="2"/>
    </row>
    <row r="40" spans="1:18" x14ac:dyDescent="0.25">
      <c r="A40" s="2"/>
      <c r="B40" s="1"/>
      <c r="C40" s="1"/>
      <c r="D40" s="3"/>
      <c r="E40" s="1"/>
      <c r="F40" s="4"/>
      <c r="G40" s="3"/>
      <c r="H40" s="5"/>
      <c r="I40" s="1"/>
      <c r="J40" s="1"/>
      <c r="K40" s="1"/>
      <c r="L40" s="1"/>
      <c r="M40" s="1"/>
      <c r="N40" s="1"/>
      <c r="O40" s="3"/>
      <c r="P40" s="3"/>
      <c r="Q40" s="1"/>
      <c r="R40" s="2"/>
    </row>
    <row r="41" spans="1:18" x14ac:dyDescent="0.25">
      <c r="A41" s="2"/>
      <c r="B41" s="1"/>
      <c r="C41" s="1"/>
      <c r="D41" s="3"/>
      <c r="E41" s="1"/>
      <c r="F41" s="4"/>
      <c r="G41" s="3"/>
      <c r="H41" s="5"/>
      <c r="I41" s="1"/>
      <c r="J41" s="1"/>
      <c r="K41" s="1"/>
      <c r="L41" s="1"/>
      <c r="M41" s="1"/>
      <c r="N41" s="1"/>
      <c r="O41" s="3"/>
      <c r="P41" s="3"/>
      <c r="Q41" s="1"/>
      <c r="R41" s="2"/>
    </row>
    <row r="42" spans="1:18" x14ac:dyDescent="0.25">
      <c r="A42" s="2"/>
      <c r="B42" s="1"/>
      <c r="C42" s="1"/>
      <c r="D42" s="3"/>
      <c r="E42" s="1"/>
      <c r="F42" s="4"/>
      <c r="G42" s="3"/>
      <c r="H42" s="5"/>
      <c r="I42" s="1"/>
      <c r="J42" s="1"/>
      <c r="K42" s="1"/>
      <c r="L42" s="1"/>
      <c r="M42" s="1"/>
      <c r="N42" s="1"/>
      <c r="O42" s="3"/>
      <c r="P42" s="3"/>
      <c r="Q42" s="1"/>
      <c r="R42" s="2"/>
    </row>
    <row r="43" spans="1:18" x14ac:dyDescent="0.25">
      <c r="A43" s="2"/>
      <c r="B43" s="1"/>
      <c r="C43" s="1"/>
      <c r="D43" s="3"/>
      <c r="E43" s="1"/>
      <c r="F43" s="4"/>
      <c r="G43" s="3"/>
      <c r="H43" s="5"/>
      <c r="I43" s="1"/>
      <c r="J43" s="1"/>
      <c r="K43" s="1"/>
      <c r="L43" s="1"/>
      <c r="M43" s="1"/>
      <c r="N43" s="1"/>
      <c r="O43" s="3"/>
      <c r="P43" s="3"/>
      <c r="Q43" s="1"/>
      <c r="R43" s="2"/>
    </row>
    <row r="44" spans="1:18" x14ac:dyDescent="0.25">
      <c r="A44" s="2"/>
      <c r="B44" s="1"/>
      <c r="C44" s="1"/>
      <c r="D44" s="3"/>
      <c r="E44" s="1"/>
      <c r="F44" s="4"/>
      <c r="G44" s="3"/>
      <c r="H44" s="5"/>
      <c r="I44" s="1"/>
      <c r="J44" s="1"/>
      <c r="K44" s="1"/>
      <c r="L44" s="1"/>
      <c r="M44" s="1"/>
      <c r="N44" s="1"/>
      <c r="O44" s="3"/>
      <c r="P44" s="3"/>
      <c r="Q44" s="1"/>
      <c r="R44" s="2"/>
    </row>
    <row r="45" spans="1:18" x14ac:dyDescent="0.25">
      <c r="A45" s="2"/>
      <c r="B45" s="1"/>
      <c r="C45" s="1"/>
      <c r="D45" s="3"/>
      <c r="E45" s="1"/>
      <c r="F45" s="4"/>
      <c r="G45" s="3"/>
      <c r="H45" s="5"/>
      <c r="I45" s="1"/>
      <c r="J45" s="1"/>
      <c r="K45" s="1"/>
      <c r="L45" s="1"/>
      <c r="M45" s="1"/>
      <c r="N45" s="1"/>
      <c r="O45" s="3"/>
      <c r="P45" s="3"/>
      <c r="Q45" s="1"/>
      <c r="R45" s="2"/>
    </row>
    <row r="46" spans="1:18" x14ac:dyDescent="0.25">
      <c r="A46" s="2"/>
      <c r="B46" s="1"/>
      <c r="C46" s="1"/>
      <c r="D46" s="3"/>
      <c r="E46" s="1"/>
      <c r="F46" s="4"/>
      <c r="G46" s="3"/>
      <c r="H46" s="5"/>
      <c r="I46" s="1"/>
      <c r="J46" s="1"/>
      <c r="K46" s="1"/>
      <c r="L46" s="1"/>
      <c r="M46" s="1"/>
      <c r="N46" s="1"/>
      <c r="O46" s="3"/>
      <c r="P46" s="3"/>
      <c r="Q46" s="1"/>
      <c r="R46" s="2"/>
    </row>
    <row r="47" spans="1:18" x14ac:dyDescent="0.25">
      <c r="A47" s="2"/>
      <c r="B47" s="1"/>
      <c r="C47" s="1"/>
      <c r="D47" s="3"/>
      <c r="E47" s="1"/>
      <c r="F47" s="4"/>
      <c r="G47" s="3"/>
      <c r="H47" s="5"/>
      <c r="I47" s="1"/>
      <c r="J47" s="1"/>
      <c r="K47" s="1"/>
      <c r="L47" s="1"/>
      <c r="M47" s="1"/>
      <c r="N47" s="1"/>
      <c r="O47" s="3"/>
      <c r="P47" s="3"/>
      <c r="Q47" s="1"/>
      <c r="R47" s="2"/>
    </row>
    <row r="48" spans="1:18" x14ac:dyDescent="0.25">
      <c r="A48" s="2"/>
      <c r="B48" s="1"/>
      <c r="C48" s="1"/>
      <c r="D48" s="3"/>
      <c r="E48" s="1"/>
      <c r="F48" s="4"/>
      <c r="G48" s="3"/>
      <c r="H48" s="5"/>
      <c r="I48" s="1"/>
      <c r="J48" s="1"/>
      <c r="K48" s="1"/>
      <c r="L48" s="1"/>
      <c r="M48" s="1"/>
      <c r="N48" s="1"/>
      <c r="O48" s="3"/>
      <c r="P48" s="3"/>
      <c r="Q48" s="1"/>
      <c r="R48" s="2"/>
    </row>
    <row r="49" spans="1:18" x14ac:dyDescent="0.25">
      <c r="A49" s="2"/>
      <c r="B49" s="1"/>
      <c r="C49" s="1"/>
      <c r="D49" s="3"/>
      <c r="E49" s="1"/>
      <c r="F49" s="4"/>
      <c r="G49" s="3"/>
      <c r="H49" s="5"/>
      <c r="I49" s="1"/>
      <c r="J49" s="1"/>
      <c r="K49" s="1"/>
      <c r="L49" s="1"/>
      <c r="M49" s="1"/>
      <c r="N49" s="1"/>
      <c r="O49" s="3"/>
      <c r="P49" s="3"/>
      <c r="Q49" s="1"/>
      <c r="R49" s="2"/>
    </row>
    <row r="50" spans="1:18" x14ac:dyDescent="0.25">
      <c r="A50" s="2"/>
      <c r="B50" s="1"/>
      <c r="C50" s="1"/>
      <c r="D50" s="3"/>
      <c r="E50" s="1"/>
      <c r="F50" s="4"/>
      <c r="G50" s="3"/>
      <c r="H50" s="5"/>
      <c r="I50" s="1"/>
      <c r="J50" s="1"/>
      <c r="K50" s="1"/>
      <c r="L50" s="1"/>
      <c r="M50" s="1"/>
      <c r="N50" s="1"/>
      <c r="O50" s="3"/>
      <c r="P50" s="3"/>
      <c r="Q50" s="1"/>
      <c r="R50" s="2"/>
    </row>
    <row r="51" spans="1:18" x14ac:dyDescent="0.25">
      <c r="A51" s="2"/>
      <c r="B51" s="1"/>
      <c r="C51" s="1"/>
      <c r="D51" s="3"/>
      <c r="E51" s="1"/>
      <c r="F51" s="4"/>
      <c r="G51" s="3"/>
      <c r="H51" s="5"/>
      <c r="I51" s="1"/>
      <c r="J51" s="1"/>
      <c r="K51" s="1"/>
      <c r="L51" s="1"/>
      <c r="M51" s="1"/>
      <c r="N51" s="1"/>
      <c r="O51" s="3"/>
      <c r="P51" s="3"/>
      <c r="Q51" s="1"/>
      <c r="R51" s="2"/>
    </row>
    <row r="52" spans="1:18" x14ac:dyDescent="0.25">
      <c r="A52" s="2"/>
      <c r="B52" s="1"/>
      <c r="C52" s="1"/>
      <c r="D52" s="3"/>
      <c r="E52" s="1"/>
      <c r="F52" s="4"/>
      <c r="G52" s="3"/>
      <c r="H52" s="5"/>
      <c r="I52" s="1"/>
      <c r="J52" s="1"/>
      <c r="K52" s="1"/>
      <c r="L52" s="1"/>
      <c r="M52" s="1"/>
      <c r="N52" s="1"/>
      <c r="O52" s="3"/>
      <c r="P52" s="3"/>
      <c r="Q52" s="1"/>
      <c r="R52" s="2"/>
    </row>
    <row r="53" spans="1:18" x14ac:dyDescent="0.25">
      <c r="A53" s="2"/>
      <c r="B53" s="1"/>
      <c r="C53" s="1"/>
      <c r="D53" s="3"/>
      <c r="E53" s="1"/>
      <c r="F53" s="4"/>
      <c r="G53" s="3"/>
      <c r="H53" s="5"/>
      <c r="I53" s="1"/>
      <c r="J53" s="1"/>
      <c r="K53" s="1"/>
      <c r="L53" s="1"/>
      <c r="M53" s="1"/>
      <c r="N53" s="1"/>
      <c r="O53" s="3"/>
      <c r="P53" s="3"/>
      <c r="Q53" s="1"/>
      <c r="R53" s="2"/>
    </row>
    <row r="54" spans="1:18" x14ac:dyDescent="0.25">
      <c r="A54" s="2"/>
      <c r="B54" s="1"/>
      <c r="C54" s="1"/>
      <c r="D54" s="3"/>
      <c r="E54" s="1"/>
      <c r="F54" s="4"/>
      <c r="G54" s="3"/>
      <c r="H54" s="5"/>
      <c r="I54" s="1"/>
      <c r="J54" s="1"/>
      <c r="K54" s="1"/>
      <c r="L54" s="1"/>
      <c r="M54" s="1"/>
      <c r="N54" s="1"/>
      <c r="O54" s="3"/>
      <c r="P54" s="3"/>
      <c r="Q54" s="1"/>
      <c r="R54" s="2"/>
    </row>
    <row r="55" spans="1:18" x14ac:dyDescent="0.25">
      <c r="A55" s="2"/>
      <c r="B55" s="1"/>
      <c r="C55" s="1"/>
      <c r="D55" s="3"/>
      <c r="E55" s="1"/>
      <c r="F55" s="4"/>
      <c r="G55" s="3"/>
      <c r="H55" s="5"/>
      <c r="I55" s="1"/>
      <c r="J55" s="1"/>
      <c r="K55" s="1"/>
      <c r="L55" s="1"/>
      <c r="M55" s="1"/>
      <c r="N55" s="1"/>
      <c r="O55" s="3"/>
      <c r="P55" s="3"/>
      <c r="Q55" s="1"/>
      <c r="R55" s="2"/>
    </row>
    <row r="56" spans="1:18" x14ac:dyDescent="0.25">
      <c r="A56" s="2"/>
      <c r="B56" s="1"/>
      <c r="C56" s="1"/>
      <c r="D56" s="3"/>
      <c r="E56" s="1"/>
      <c r="F56" s="4"/>
      <c r="G56" s="3"/>
      <c r="H56" s="5"/>
      <c r="I56" s="1"/>
      <c r="J56" s="1"/>
      <c r="K56" s="1"/>
      <c r="L56" s="1"/>
      <c r="M56" s="1"/>
      <c r="N56" s="1"/>
      <c r="O56" s="3"/>
      <c r="P56" s="3"/>
      <c r="Q56" s="1"/>
      <c r="R56" s="2"/>
    </row>
    <row r="57" spans="1:18" x14ac:dyDescent="0.25">
      <c r="A57" s="2"/>
      <c r="B57" s="1"/>
      <c r="C57" s="1"/>
      <c r="D57" s="3"/>
      <c r="E57" s="1"/>
      <c r="F57" s="4"/>
      <c r="G57" s="3"/>
      <c r="H57" s="5"/>
      <c r="I57" s="1"/>
      <c r="J57" s="1"/>
      <c r="K57" s="1"/>
      <c r="L57" s="1"/>
      <c r="M57" s="1"/>
      <c r="N57" s="1"/>
      <c r="O57" s="3"/>
      <c r="P57" s="3"/>
      <c r="Q57" s="1"/>
      <c r="R57" s="2"/>
    </row>
    <row r="58" spans="1:18" x14ac:dyDescent="0.25">
      <c r="A58" s="2"/>
      <c r="B58" s="1"/>
      <c r="C58" s="1"/>
      <c r="D58" s="3"/>
      <c r="E58" s="1"/>
      <c r="F58" s="4"/>
      <c r="G58" s="3"/>
      <c r="H58" s="5"/>
      <c r="I58" s="1"/>
      <c r="J58" s="1"/>
      <c r="K58" s="1"/>
      <c r="L58" s="1"/>
      <c r="M58" s="1"/>
      <c r="N58" s="1"/>
      <c r="O58" s="3"/>
      <c r="P58" s="3"/>
      <c r="Q58" s="1"/>
      <c r="R58" s="2"/>
    </row>
    <row r="59" spans="1:18" x14ac:dyDescent="0.25">
      <c r="A59" s="2"/>
      <c r="B59" s="1"/>
      <c r="C59" s="1"/>
      <c r="D59" s="3"/>
      <c r="E59" s="1"/>
      <c r="F59" s="4"/>
      <c r="G59" s="3"/>
      <c r="H59" s="5"/>
      <c r="I59" s="1"/>
      <c r="J59" s="1"/>
      <c r="K59" s="1"/>
      <c r="L59" s="1"/>
      <c r="M59" s="1"/>
      <c r="N59" s="1"/>
      <c r="O59" s="3"/>
      <c r="P59" s="3"/>
      <c r="Q59" s="1"/>
      <c r="R59" s="2"/>
    </row>
    <row r="60" spans="1:18" x14ac:dyDescent="0.25">
      <c r="A60" s="2"/>
      <c r="B60" s="1"/>
      <c r="C60" s="1"/>
      <c r="D60" s="3"/>
      <c r="E60" s="1"/>
      <c r="F60" s="4"/>
      <c r="G60" s="3"/>
      <c r="H60" s="5"/>
      <c r="I60" s="1"/>
      <c r="J60" s="1"/>
      <c r="K60" s="1"/>
      <c r="L60" s="1"/>
      <c r="M60" s="1"/>
      <c r="N60" s="1"/>
      <c r="O60" s="3"/>
      <c r="P60" s="3"/>
      <c r="Q60" s="1"/>
      <c r="R60" s="2"/>
    </row>
    <row r="61" spans="1:18" x14ac:dyDescent="0.25">
      <c r="A61" s="2"/>
      <c r="B61" s="1"/>
      <c r="C61" s="1"/>
      <c r="D61" s="3"/>
      <c r="E61" s="1"/>
      <c r="F61" s="4"/>
      <c r="G61" s="3"/>
      <c r="H61" s="5"/>
      <c r="I61" s="1"/>
      <c r="J61" s="1"/>
      <c r="K61" s="1"/>
      <c r="L61" s="1"/>
      <c r="M61" s="1"/>
      <c r="N61" s="1"/>
      <c r="O61" s="3"/>
      <c r="P61" s="3"/>
      <c r="Q61" s="1"/>
      <c r="R61" s="2"/>
    </row>
    <row r="62" spans="1:18" x14ac:dyDescent="0.25">
      <c r="A62" s="2"/>
      <c r="B62" s="1"/>
      <c r="C62" s="1"/>
      <c r="D62" s="3"/>
      <c r="E62" s="1"/>
      <c r="F62" s="4"/>
      <c r="G62" s="3"/>
      <c r="H62" s="5"/>
      <c r="I62" s="1"/>
      <c r="J62" s="1"/>
      <c r="K62" s="1"/>
      <c r="L62" s="1"/>
      <c r="M62" s="1"/>
      <c r="N62" s="1"/>
      <c r="O62" s="3"/>
      <c r="P62" s="3"/>
      <c r="Q62" s="1"/>
      <c r="R62" s="2"/>
    </row>
    <row r="63" spans="1:18" x14ac:dyDescent="0.25">
      <c r="A63" s="2"/>
      <c r="B63" s="1"/>
      <c r="C63" s="1"/>
      <c r="D63" s="3"/>
      <c r="E63" s="1"/>
      <c r="F63" s="4"/>
      <c r="G63" s="3"/>
      <c r="H63" s="5"/>
      <c r="I63" s="1"/>
      <c r="J63" s="1"/>
      <c r="K63" s="1"/>
      <c r="L63" s="1"/>
      <c r="M63" s="1"/>
      <c r="N63" s="1"/>
      <c r="O63" s="3"/>
      <c r="P63" s="3"/>
      <c r="Q63" s="1"/>
      <c r="R63" s="2"/>
    </row>
    <row r="64" spans="1:18" x14ac:dyDescent="0.25">
      <c r="A64" s="2"/>
      <c r="B64" s="1"/>
      <c r="C64" s="1"/>
      <c r="D64" s="3"/>
      <c r="E64" s="1"/>
      <c r="F64" s="4"/>
      <c r="G64" s="3"/>
      <c r="H64" s="5"/>
      <c r="I64" s="1"/>
      <c r="J64" s="1"/>
      <c r="K64" s="1"/>
      <c r="L64" s="1"/>
      <c r="M64" s="1"/>
      <c r="N64" s="1"/>
      <c r="O64" s="3"/>
      <c r="P64" s="3"/>
      <c r="Q64" s="1"/>
      <c r="R64" s="2"/>
    </row>
    <row r="65" spans="1:18" x14ac:dyDescent="0.25">
      <c r="A65" s="2"/>
      <c r="B65" s="1"/>
      <c r="C65" s="1"/>
      <c r="D65" s="3"/>
      <c r="E65" s="1"/>
      <c r="F65" s="4"/>
      <c r="G65" s="3"/>
      <c r="H65" s="5"/>
      <c r="I65" s="1"/>
      <c r="J65" s="1"/>
      <c r="K65" s="1"/>
      <c r="L65" s="1"/>
      <c r="M65" s="1"/>
      <c r="N65" s="1"/>
      <c r="O65" s="3"/>
      <c r="P65" s="3"/>
      <c r="Q65" s="1"/>
      <c r="R65" s="2"/>
    </row>
    <row r="66" spans="1:18" x14ac:dyDescent="0.25">
      <c r="A66" s="2"/>
      <c r="B66" s="1"/>
      <c r="C66" s="1"/>
      <c r="D66" s="3"/>
      <c r="E66" s="1"/>
      <c r="F66" s="4"/>
      <c r="G66" s="3"/>
      <c r="H66" s="5"/>
      <c r="I66" s="1"/>
      <c r="J66" s="1"/>
      <c r="K66" s="1"/>
      <c r="L66" s="1"/>
      <c r="M66" s="1"/>
      <c r="N66" s="1"/>
      <c r="O66" s="3"/>
      <c r="P66" s="3"/>
      <c r="Q66" s="1"/>
      <c r="R66" s="2"/>
    </row>
    <row r="67" spans="1:18" x14ac:dyDescent="0.25">
      <c r="A67" s="2"/>
      <c r="B67" s="1"/>
      <c r="C67" s="1"/>
      <c r="D67" s="3"/>
      <c r="E67" s="1"/>
      <c r="F67" s="4"/>
      <c r="G67" s="3"/>
      <c r="H67" s="5"/>
      <c r="I67" s="1"/>
      <c r="J67" s="1"/>
      <c r="K67" s="1"/>
      <c r="L67" s="1"/>
      <c r="M67" s="1"/>
      <c r="N67" s="1"/>
      <c r="O67" s="3"/>
      <c r="P67" s="3"/>
      <c r="Q67" s="1"/>
      <c r="R67" s="2"/>
    </row>
    <row r="68" spans="1:18" x14ac:dyDescent="0.25">
      <c r="A68" s="2"/>
      <c r="B68" s="1"/>
      <c r="C68" s="1"/>
      <c r="D68" s="3"/>
      <c r="E68" s="1"/>
      <c r="F68" s="4"/>
      <c r="G68" s="3"/>
      <c r="H68" s="5"/>
      <c r="I68" s="1"/>
      <c r="J68" s="1"/>
      <c r="K68" s="1"/>
      <c r="L68" s="1"/>
      <c r="M68" s="1"/>
      <c r="N68" s="1"/>
      <c r="O68" s="3"/>
      <c r="P68" s="3"/>
      <c r="Q68" s="1"/>
      <c r="R68" s="2"/>
    </row>
    <row r="69" spans="1:18" x14ac:dyDescent="0.25">
      <c r="A69" s="2"/>
      <c r="B69" s="1"/>
      <c r="C69" s="1"/>
      <c r="D69" s="3"/>
      <c r="E69" s="1"/>
      <c r="F69" s="4"/>
      <c r="G69" s="3"/>
      <c r="H69" s="5"/>
      <c r="I69" s="1"/>
      <c r="J69" s="1"/>
      <c r="K69" s="1"/>
      <c r="L69" s="1"/>
      <c r="M69" s="1"/>
      <c r="N69" s="1"/>
      <c r="O69" s="3"/>
      <c r="P69" s="3"/>
      <c r="Q69" s="1"/>
      <c r="R69" s="2"/>
    </row>
    <row r="70" spans="1:18" x14ac:dyDescent="0.25">
      <c r="A70" s="2"/>
      <c r="B70" s="1"/>
      <c r="C70" s="1"/>
      <c r="D70" s="3"/>
      <c r="E70" s="1"/>
      <c r="F70" s="4"/>
      <c r="G70" s="3"/>
      <c r="H70" s="5"/>
      <c r="I70" s="1"/>
      <c r="J70" s="1"/>
      <c r="K70" s="1"/>
      <c r="L70" s="1"/>
      <c r="M70" s="1"/>
      <c r="N70" s="1"/>
      <c r="O70" s="3"/>
      <c r="P70" s="3"/>
      <c r="Q70" s="1"/>
      <c r="R70" s="2"/>
    </row>
  </sheetData>
  <mergeCells count="1">
    <mergeCell ref="A1:R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AD86C-48E8-480E-9894-06930B584827}">
  <dimension ref="A1:P28"/>
  <sheetViews>
    <sheetView workbookViewId="0">
      <selection activeCell="A3" sqref="A3:G8"/>
    </sheetView>
  </sheetViews>
  <sheetFormatPr defaultRowHeight="15" x14ac:dyDescent="0.25"/>
  <cols>
    <col min="1" max="1" width="12.85546875" style="2" bestFit="1" customWidth="1"/>
    <col min="2" max="2" width="66.42578125" style="2" bestFit="1" customWidth="1"/>
    <col min="3" max="3" width="37.7109375" style="2" bestFit="1" customWidth="1"/>
    <col min="4" max="4" width="26.42578125" style="2" customWidth="1"/>
    <col min="5" max="5" width="3.42578125" style="2" customWidth="1"/>
    <col min="6" max="6" width="22.5703125" style="2" bestFit="1" customWidth="1"/>
    <col min="7" max="7" width="11.7109375" style="2" bestFit="1" customWidth="1"/>
    <col min="8" max="8" width="10.42578125" style="2" bestFit="1" customWidth="1"/>
    <col min="9" max="9" width="11.7109375" style="2" bestFit="1" customWidth="1"/>
    <col min="10" max="10" width="12.42578125" bestFit="1" customWidth="1"/>
    <col min="13" max="13" width="13.28515625" bestFit="1" customWidth="1"/>
    <col min="14" max="14" width="66.42578125" bestFit="1" customWidth="1"/>
    <col min="15" max="15" width="12.7109375" bestFit="1" customWidth="1"/>
    <col min="16" max="16" width="18" bestFit="1" customWidth="1"/>
  </cols>
  <sheetData>
    <row r="1" spans="1:16" x14ac:dyDescent="0.25">
      <c r="A1" s="2" t="s">
        <v>51</v>
      </c>
      <c r="B1" s="1" t="s">
        <v>1</v>
      </c>
      <c r="C1" s="1" t="s">
        <v>11</v>
      </c>
      <c r="D1" s="1" t="s">
        <v>12</v>
      </c>
      <c r="E1" s="1" t="s">
        <v>13</v>
      </c>
      <c r="F1" s="3" t="s">
        <v>54</v>
      </c>
      <c r="G1" s="3" t="s">
        <v>14</v>
      </c>
      <c r="H1" s="1" t="s">
        <v>15</v>
      </c>
      <c r="I1" s="1" t="s">
        <v>28</v>
      </c>
      <c r="M1" s="2"/>
      <c r="N1" s="1" t="s">
        <v>1</v>
      </c>
      <c r="O1" s="1" t="s">
        <v>2</v>
      </c>
      <c r="P1" s="3" t="s">
        <v>3</v>
      </c>
    </row>
    <row r="2" spans="1:16" x14ac:dyDescent="0.25">
      <c r="A2" s="2" t="s">
        <v>16</v>
      </c>
      <c r="B2" s="1" t="s">
        <v>17</v>
      </c>
      <c r="C2" s="1" t="s">
        <v>21</v>
      </c>
      <c r="D2" s="1" t="s">
        <v>22</v>
      </c>
      <c r="E2" s="1">
        <v>16</v>
      </c>
      <c r="F2" s="3">
        <v>1990</v>
      </c>
      <c r="G2" s="3">
        <f>F2*E2</f>
        <v>31840</v>
      </c>
      <c r="H2" s="6">
        <v>45742</v>
      </c>
      <c r="I2" s="5">
        <f>G2-'ERP Prdouct (Supplier Name)'!H3</f>
        <v>7700</v>
      </c>
      <c r="M2" s="2" t="s">
        <v>16</v>
      </c>
      <c r="N2" s="1" t="s">
        <v>17</v>
      </c>
      <c r="O2" s="1">
        <v>1</v>
      </c>
      <c r="P2" s="3">
        <v>1490</v>
      </c>
    </row>
    <row r="3" spans="1:16" x14ac:dyDescent="0.25">
      <c r="A3" s="2" t="s">
        <v>29</v>
      </c>
      <c r="B3" s="1" t="s">
        <v>30</v>
      </c>
      <c r="C3" s="1" t="s">
        <v>52</v>
      </c>
      <c r="D3" s="1">
        <v>9627285847</v>
      </c>
      <c r="E3" s="1">
        <v>2</v>
      </c>
      <c r="F3" s="3">
        <f t="shared" ref="F3:F8" si="0">G3/E3</f>
        <v>3950</v>
      </c>
      <c r="G3" s="3">
        <v>7900</v>
      </c>
      <c r="H3" s="6">
        <v>46113</v>
      </c>
      <c r="I3" s="5">
        <f>G3-(P7*E3)</f>
        <v>1895.6599999999999</v>
      </c>
      <c r="M3" s="2"/>
      <c r="N3" s="1"/>
      <c r="O3" s="1"/>
      <c r="P3" s="3"/>
    </row>
    <row r="4" spans="1:16" x14ac:dyDescent="0.25">
      <c r="A4" s="2" t="s">
        <v>29</v>
      </c>
      <c r="B4" s="1" t="s">
        <v>30</v>
      </c>
      <c r="C4" s="1" t="s">
        <v>53</v>
      </c>
      <c r="D4" s="1">
        <v>9627285847</v>
      </c>
      <c r="E4" s="1">
        <v>2</v>
      </c>
      <c r="F4" s="3">
        <f t="shared" si="0"/>
        <v>3950</v>
      </c>
      <c r="G4" s="3">
        <v>7900</v>
      </c>
      <c r="H4" s="6">
        <v>46113</v>
      </c>
      <c r="I4" s="5">
        <f>G4-(P7*E4)</f>
        <v>1895.6599999999999</v>
      </c>
      <c r="M4" s="2"/>
      <c r="N4" s="1"/>
      <c r="O4" s="1"/>
      <c r="P4" s="3"/>
    </row>
    <row r="5" spans="1:16" x14ac:dyDescent="0.25">
      <c r="A5" s="2" t="s">
        <v>42</v>
      </c>
      <c r="B5" s="1" t="s">
        <v>49</v>
      </c>
      <c r="C5" s="1" t="s">
        <v>52</v>
      </c>
      <c r="D5" s="1">
        <v>9627285847</v>
      </c>
      <c r="E5" s="1">
        <v>2</v>
      </c>
      <c r="F5" s="3">
        <f t="shared" si="0"/>
        <v>1500</v>
      </c>
      <c r="G5" s="3">
        <v>3000</v>
      </c>
      <c r="H5" s="6">
        <v>46113</v>
      </c>
      <c r="I5" s="5">
        <f>G5-(P12*E5)</f>
        <v>3000</v>
      </c>
      <c r="M5" s="2"/>
      <c r="N5" s="1"/>
      <c r="O5" s="1"/>
      <c r="P5" s="3"/>
    </row>
    <row r="6" spans="1:16" x14ac:dyDescent="0.25">
      <c r="A6" s="2" t="s">
        <v>42</v>
      </c>
      <c r="B6" s="1" t="s">
        <v>49</v>
      </c>
      <c r="C6" s="1" t="s">
        <v>53</v>
      </c>
      <c r="D6" s="1">
        <v>9627285847</v>
      </c>
      <c r="E6" s="1">
        <v>2</v>
      </c>
      <c r="F6" s="3">
        <f t="shared" si="0"/>
        <v>1500</v>
      </c>
      <c r="G6" s="3">
        <v>3000</v>
      </c>
      <c r="H6" s="6">
        <v>46113</v>
      </c>
      <c r="I6" s="5">
        <f>G6-(P12*E6)</f>
        <v>3000</v>
      </c>
      <c r="M6" s="2"/>
      <c r="N6" s="1"/>
      <c r="O6" s="1"/>
      <c r="P6" s="3"/>
    </row>
    <row r="7" spans="1:16" x14ac:dyDescent="0.25">
      <c r="A7" s="2" t="s">
        <v>41</v>
      </c>
      <c r="B7" s="1" t="s">
        <v>48</v>
      </c>
      <c r="C7" s="1" t="s">
        <v>52</v>
      </c>
      <c r="D7" s="1">
        <v>9627285847</v>
      </c>
      <c r="E7" s="1">
        <v>2</v>
      </c>
      <c r="F7" s="3">
        <f t="shared" si="0"/>
        <v>1600</v>
      </c>
      <c r="G7" s="3">
        <v>3200</v>
      </c>
      <c r="H7" s="6">
        <v>46113</v>
      </c>
      <c r="I7" s="5">
        <f>G7-(P10*E7)</f>
        <v>2200</v>
      </c>
      <c r="M7" s="2" t="s">
        <v>29</v>
      </c>
      <c r="N7" s="1" t="s">
        <v>30</v>
      </c>
      <c r="O7" s="1"/>
      <c r="P7" s="3">
        <v>3002.17</v>
      </c>
    </row>
    <row r="8" spans="1:16" x14ac:dyDescent="0.25">
      <c r="A8" s="2" t="s">
        <v>41</v>
      </c>
      <c r="B8" s="1" t="s">
        <v>48</v>
      </c>
      <c r="C8" s="1" t="s">
        <v>53</v>
      </c>
      <c r="D8" s="1">
        <v>9627285847</v>
      </c>
      <c r="E8" s="1">
        <v>2</v>
      </c>
      <c r="F8" s="3">
        <f t="shared" si="0"/>
        <v>1600</v>
      </c>
      <c r="G8" s="3">
        <v>3200</v>
      </c>
      <c r="H8" s="6">
        <v>46113</v>
      </c>
      <c r="I8" s="5">
        <f>G8-(P10*E8)</f>
        <v>2200</v>
      </c>
      <c r="M8" s="2" t="s">
        <v>32</v>
      </c>
      <c r="N8" s="1" t="s">
        <v>33</v>
      </c>
      <c r="O8" s="1" t="s">
        <v>34</v>
      </c>
      <c r="P8" s="3">
        <v>18000</v>
      </c>
    </row>
    <row r="9" spans="1:16" x14ac:dyDescent="0.25">
      <c r="C9" s="1"/>
      <c r="D9" s="1"/>
      <c r="E9" s="1"/>
      <c r="F9" s="3"/>
      <c r="G9" s="3"/>
      <c r="H9" s="1"/>
      <c r="M9" s="2" t="s">
        <v>39</v>
      </c>
      <c r="N9" s="1" t="s">
        <v>40</v>
      </c>
      <c r="O9" s="1" t="s">
        <v>34</v>
      </c>
      <c r="P9" s="3"/>
    </row>
    <row r="10" spans="1:16" x14ac:dyDescent="0.25">
      <c r="C10" s="1"/>
      <c r="D10" s="1"/>
      <c r="E10" s="1"/>
      <c r="F10" s="3"/>
      <c r="G10" s="3"/>
      <c r="H10" s="1"/>
      <c r="M10" s="2" t="s">
        <v>41</v>
      </c>
      <c r="N10" s="1" t="s">
        <v>48</v>
      </c>
      <c r="O10" s="1" t="s">
        <v>50</v>
      </c>
      <c r="P10" s="3">
        <v>500</v>
      </c>
    </row>
    <row r="11" spans="1:16" x14ac:dyDescent="0.25">
      <c r="C11" s="1"/>
      <c r="D11" s="1"/>
      <c r="E11" s="1"/>
      <c r="F11" s="3"/>
      <c r="G11" s="3"/>
      <c r="H11" s="1"/>
      <c r="I11" s="15">
        <f>SUM(I2:I10)</f>
        <v>21891.32</v>
      </c>
      <c r="J11" s="2" t="s">
        <v>55</v>
      </c>
      <c r="M11" s="2" t="s">
        <v>42</v>
      </c>
      <c r="N11" s="1" t="s">
        <v>49</v>
      </c>
      <c r="O11" s="1" t="s">
        <v>50</v>
      </c>
      <c r="P11" s="3">
        <v>550</v>
      </c>
    </row>
    <row r="12" spans="1:16" x14ac:dyDescent="0.25">
      <c r="C12" s="1"/>
      <c r="D12" s="1"/>
      <c r="E12" s="1"/>
      <c r="F12" s="3"/>
      <c r="G12" s="3"/>
      <c r="H12" s="1"/>
    </row>
    <row r="13" spans="1:16" x14ac:dyDescent="0.25">
      <c r="C13" s="1"/>
      <c r="D13" s="1"/>
      <c r="E13" s="1"/>
      <c r="F13" s="3"/>
      <c r="G13" s="3"/>
      <c r="H13" s="1"/>
    </row>
    <row r="14" spans="1:16" x14ac:dyDescent="0.25">
      <c r="C14" s="1"/>
      <c r="D14" s="1"/>
      <c r="E14" s="1"/>
      <c r="F14" s="3"/>
      <c r="G14" s="3"/>
      <c r="H14" s="1"/>
    </row>
    <row r="15" spans="1:16" x14ac:dyDescent="0.25">
      <c r="C15" s="1"/>
      <c r="D15" s="1"/>
      <c r="E15" s="1"/>
      <c r="F15" s="3"/>
      <c r="G15" s="3"/>
      <c r="H15" s="1"/>
    </row>
    <row r="16" spans="1:16" x14ac:dyDescent="0.25">
      <c r="C16" s="1"/>
      <c r="D16" s="1"/>
      <c r="E16" s="1"/>
      <c r="F16" s="3"/>
      <c r="G16" s="3"/>
      <c r="H16" s="1"/>
    </row>
    <row r="17" spans="3:8" x14ac:dyDescent="0.25">
      <c r="C17" s="1"/>
      <c r="D17" s="1"/>
      <c r="E17" s="1"/>
      <c r="F17" s="3"/>
      <c r="G17" s="3"/>
      <c r="H17" s="1"/>
    </row>
    <row r="18" spans="3:8" x14ac:dyDescent="0.25">
      <c r="C18" s="1"/>
      <c r="D18" s="1"/>
      <c r="E18" s="1"/>
      <c r="F18" s="3"/>
      <c r="G18" s="3"/>
      <c r="H18" s="1"/>
    </row>
    <row r="19" spans="3:8" x14ac:dyDescent="0.25">
      <c r="C19" s="1"/>
      <c r="D19" s="1"/>
      <c r="E19" s="1"/>
      <c r="F19" s="3"/>
      <c r="G19" s="3"/>
      <c r="H19" s="1"/>
    </row>
    <row r="20" spans="3:8" x14ac:dyDescent="0.25">
      <c r="C20" s="1"/>
      <c r="D20" s="1"/>
      <c r="E20" s="1"/>
      <c r="F20" s="3"/>
      <c r="G20" s="3"/>
      <c r="H20" s="1"/>
    </row>
    <row r="21" spans="3:8" x14ac:dyDescent="0.25">
      <c r="C21" s="1"/>
      <c r="D21" s="1"/>
      <c r="E21" s="1"/>
      <c r="F21" s="3"/>
      <c r="G21" s="3"/>
      <c r="H21" s="1"/>
    </row>
    <row r="22" spans="3:8" x14ac:dyDescent="0.25">
      <c r="C22" s="1"/>
      <c r="D22" s="1"/>
      <c r="E22" s="1"/>
      <c r="F22" s="3"/>
      <c r="G22" s="3"/>
      <c r="H22" s="1"/>
    </row>
    <row r="23" spans="3:8" x14ac:dyDescent="0.25">
      <c r="C23" s="1"/>
      <c r="D23" s="1"/>
      <c r="E23" s="1"/>
      <c r="F23" s="3"/>
      <c r="G23" s="3"/>
      <c r="H23" s="1"/>
    </row>
    <row r="24" spans="3:8" x14ac:dyDescent="0.25">
      <c r="C24" s="1"/>
      <c r="D24" s="1"/>
      <c r="E24" s="1"/>
      <c r="F24" s="3"/>
      <c r="G24" s="3"/>
      <c r="H24" s="1"/>
    </row>
    <row r="25" spans="3:8" x14ac:dyDescent="0.25">
      <c r="C25" s="1"/>
      <c r="D25" s="1"/>
      <c r="E25" s="1"/>
      <c r="F25" s="3"/>
      <c r="G25" s="3"/>
      <c r="H25" s="1"/>
    </row>
    <row r="26" spans="3:8" x14ac:dyDescent="0.25">
      <c r="C26" s="1"/>
      <c r="D26" s="1"/>
      <c r="E26" s="1"/>
      <c r="F26" s="3"/>
      <c r="G26" s="3"/>
      <c r="H26" s="1"/>
    </row>
    <row r="27" spans="3:8" x14ac:dyDescent="0.25">
      <c r="C27" s="1"/>
      <c r="D27" s="1"/>
      <c r="E27" s="1"/>
      <c r="F27" s="3"/>
      <c r="G27" s="3"/>
      <c r="H27" s="1"/>
    </row>
    <row r="28" spans="3:8" x14ac:dyDescent="0.25">
      <c r="C28" s="1"/>
      <c r="D28" s="1"/>
      <c r="E28" s="1"/>
      <c r="F28" s="3"/>
      <c r="G28" s="3"/>
      <c r="H2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ERP Prdouct (Supplier Name)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2025-06-01T00:40:32Z</dcterms:created>
  <dcterms:modified xsi:type="dcterms:W3CDTF">2026-05-26T04:07:22Z</dcterms:modified>
</cp:coreProperties>
</file>